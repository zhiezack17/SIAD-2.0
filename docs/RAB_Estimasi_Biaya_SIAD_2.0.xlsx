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B Lengkap (Standar)" state="visible" r:id="rId4"/>
    <sheet sheetId="2" name="Template Kosong (Disesuaikan)" state="visible" r:id="rId5"/>
  </sheets>
  <calcPr calcId="171027"/>
</workbook>
</file>

<file path=xl/sharedStrings.xml><?xml version="1.0" encoding="utf-8"?>
<sst xmlns="http://schemas.openxmlformats.org/spreadsheetml/2006/main" count="242" uniqueCount="86">
  <si>
    <t>RENCANA ANGGARAN BIAYA (RAB)</t>
  </si>
  <si>
    <t>PENGEMBANGAN &amp; OPERASIONAL SISTEM INFORMASI ARSIP &amp; ADMINISTRASI DESA (SIAD 2.0)</t>
  </si>
  <si>
    <t>VERSI 1: ESTIMASI BIAYA STANDAR INDUSTRI IT (STANDAR PENGADAAN PERANGKAT LUNAK PEMERINTAHAN DESA)</t>
  </si>
  <si>
    <t>NO</t>
  </si>
  <si>
    <t>KOMPONEN &amp; URAIAN PEKERJAAN</t>
  </si>
  <si>
    <t>SPESIFIKASI TEKNIS / OUTPUT</t>
  </si>
  <si>
    <t>VOLUME</t>
  </si>
  <si>
    <t>SATUAN</t>
  </si>
  <si>
    <t>HARGA SATUAN (RP)</t>
  </si>
  <si>
    <t>TOTAL BIAYA (RP)</t>
  </si>
  <si>
    <t>A. INFRASTRUKTUR CLOUD, KEAMANAN &amp; PENYIMPANAN DATA</t>
  </si>
  <si>
    <t/>
  </si>
  <si>
    <t>1</t>
  </si>
  <si>
    <t>Sewa Server Cloud VPS Enterprise (SSD High Performance, Bandwidth Unlimited, Anti-DDoS)</t>
  </si>
  <si>
    <t>Spek: 4 vCPU, 8 GB RAM, 160 GB NVMe SSD, Uptime 99.9%</t>
  </si>
  <si>
    <t>Tahun</t>
  </si>
  <si>
    <t>2</t>
  </si>
  <si>
    <t>Registrasi &amp; Pengelolaan Domain Resmi (cth: siad-v2.com atau domain desa/pemkab)</t>
  </si>
  <si>
    <t>Domain resmi + Manajemen DNS Cloudflare Enterprise Proxy</t>
  </si>
  <si>
    <t>3</t>
  </si>
  <si>
    <t>Sertifikat Keamanan SSL Enterprise (HTTPS 256-bit Encryption)</t>
  </si>
  <si>
    <t>Enkripsi data transaksi publik &amp; proteksi MITM</t>
  </si>
  <si>
    <t>4</t>
  </si>
  <si>
    <t>Sistem Backup Cloud Otomatis Harian &amp; Disaster Recovery Storage</t>
  </si>
  <si>
    <t>Google Drive Cloud Storage API + Automated Daily Dump</t>
  </si>
  <si>
    <t>B. PENGEMBANGAN SISTEM APLIKASI &amp; LISENSI MODUL</t>
  </si>
  <si>
    <t>5</t>
  </si>
  <si>
    <t>Arsitektur Inti Sistem Enterprise Multi-Tenant (Isolasi 184 Kepenghuluan se-Rohil)</t>
  </si>
  <si>
    <t>Engine database terisolasi per desa + Super Admin Switcher</t>
  </si>
  <si>
    <t>Paket Sistem</t>
  </si>
  <si>
    <t>6</t>
  </si>
  <si>
    <t>Modul SPJ Keuangan &amp; Verifikasi Bertingkat 3 Tahap (Kaur -&gt; Sekdes -&gt; Penghulu)</t>
  </si>
  <si>
    <t>Verifikasi berjenjang, penolakan catatan, cetak lembar pengesahan dinamis &amp; QR Code</t>
  </si>
  <si>
    <t>Modul Utama</t>
  </si>
  <si>
    <t>7</t>
  </si>
  <si>
    <t>Modul Administrasi Persuratan Desa &amp; Disposisi Surat Digital</t>
  </si>
  <si>
    <t>Pencatatan surat masuk/keluar, scan dokumen digital, dan disposisi</t>
  </si>
  <si>
    <t>Modul</t>
  </si>
  <si>
    <t>8</t>
  </si>
  <si>
    <t>Modul Pengelolaan Aset &amp; Inventaris Desa (KIR / KIB &amp; Kondisi Barang)</t>
  </si>
  <si>
    <t>Pencatatan inventaris tanah, bangunan, alat kantor, nilai perolehan</t>
  </si>
  <si>
    <t>9</t>
  </si>
  <si>
    <t>Modul Arsip Produk Hukum Desa (Perdes, Perkades, SK) &amp; Profil BUMDes</t>
  </si>
  <si>
    <t>Penyimpanan lembaran desa, legalitas &amp; laporan berkala BUMDes</t>
  </si>
  <si>
    <t>10</t>
  </si>
  <si>
    <t>Modul Master Data (Rekening APBDes, Klasifikasi Kode Surat, SK Perangkat)</t>
  </si>
  <si>
    <t>Master kode rekening keuangan desa &amp; data struktur aparatur</t>
  </si>
  <si>
    <t>C. IMPLEMENTASI, ONBOARDING &amp; BIMBINGAN TEKNIS (BIMTEK)</t>
  </si>
  <si>
    <t>11</t>
  </si>
  <si>
    <t>Instalasi, Setup Production Server, Migrasi Basis Data &amp; Konfigurasi Firewall</t>
  </si>
  <si>
    <t>Setup Linux, Node.js PM2 Cluster, PostgreSQL, Nginx Reverse Proxy</t>
  </si>
  <si>
    <t>Kegiatan</t>
  </si>
  <si>
    <t>12</t>
  </si>
  <si>
    <t>Inisialisasi &amp; Onboarding 5 Akun Default Seluruh Desa (Fitur 1-Klik Onboarding)</t>
  </si>
  <si>
    <t>Pembuatan akun terstruktur Admin, Penghulu, Sekdes, Bendahara, Kaur</t>
  </si>
  <si>
    <t>Paket</t>
  </si>
  <si>
    <t>13</t>
  </si>
  <si>
    <t>Penyusunan Modul Buku Panduan Resmi (PDF Print-Ready) &amp; Video Tutorial Digital</t>
  </si>
  <si>
    <t>Buku panduan lengkap dari login sampai pengaturan + materi video</t>
  </si>
  <si>
    <t>Paket Panduan</t>
  </si>
  <si>
    <t>14</t>
  </si>
  <si>
    <t>Bimbingan Teknis (Bimtek) &amp; Pelatihan Praktis Aparatur Desa / Bendahara</t>
  </si>
  <si>
    <t>Pelatihan pengoperasian SPJ &amp; administrasi desa (Simulasi langsung)</t>
  </si>
  <si>
    <t>Sesi / Paket</t>
  </si>
  <si>
    <t>D. PEMELIHARAAN SISTEM, BACKUP &amp; BANTUAN TEKNIS (1 TAHUN)</t>
  </si>
  <si>
    <t>15</t>
  </si>
  <si>
    <t>Layanan Pemeliharaan Server, Database Tuning &amp; Patch Keamanan Berkala</t>
  </si>
  <si>
    <t>Monitoring uptime, pencegahan serangan siber, optimasi index DB</t>
  </si>
  <si>
    <t>16</t>
  </si>
  <si>
    <t>Garansi Perbaikan Bug Teknis &amp; Pembaruan Minor Fitur (Bug Fixing &amp; Update)</t>
  </si>
  <si>
    <t>Pembaruan jika ada penyesuaian format regulasi/cetak SPJ desa</t>
  </si>
  <si>
    <t>17</t>
  </si>
  <si>
    <t>Layanan Pendampingan Teknis / Helpdesk WhatsApp Eksklusif untuk Aparatur Desa</t>
  </si>
  <si>
    <t>Layanan konsultasi teknis cepat jika aparatur desa mengalami kendala</t>
  </si>
  <si>
    <t>TOTAL ESTIMASI BIAYA KESELURUHAN (PAKET BORONGAN LENGKAP)</t>
  </si>
  <si>
    <t>OPSI STRATEGI PENERAPAN MANDIRI KEPENGHULAN (SKEMA LANGGANAN TAHUNAN / SAAS DESA)</t>
  </si>
  <si>
    <t>A</t>
  </si>
  <si>
    <t>Paket Sewa Lisensi &amp; Layanan SIAD 2.0 per Kepenghuluan (Model Langganan Tahunan)</t>
  </si>
  <si>
    <t>Sudah termasuk 5 Akun aparatur, server cloud, backup, pemeliharaan &amp; helpdesk</t>
  </si>
  <si>
    <t>Desa / Tahun</t>
  </si>
  <si>
    <t>B</t>
  </si>
  <si>
    <t>Paket Hemat Khusus 3 Kepenghuluan Perdana (Pilot Project Onboarding)</t>
  </si>
  <si>
    <t>Khusus desa pelopor: diskon implementasi, bimtek intensif dan pendampingan 1 tahun</t>
  </si>
  <si>
    <t>Paket 3 Desa</t>
  </si>
  <si>
    <t>* Catatan: Angka di atas dapat disesuaikan dengan kemampuan anggaran APBDes masing-masing desa atau pagu kegiatan Dinas PMD Rohil.</t>
  </si>
  <si>
    <t>VERSI 2: TEMPLATE DRAF BIAYA (KOLOM BIAYA DAPAT DIISI &amp; DISESUAIKAN MANDIRI OLEH PENGGUNA)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</si>
</sst>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Rp #,##0"/>
  </numFmts>
  <fonts count="12" x14ac:knownFonts="1">
    <font>
      <color theme="1"/>
      <family val="2"/>
      <scheme val="minor"/>
      <sz val="11"/>
      <name val="Calibri"/>
    </font>
    <font>
      <b/>
      <color rgb="1E3A8A"/>
      <sz val="15"/>
      <name val="Segoe UI"/>
    </font>
    <font>
      <b/>
      <color rgb="0F172A"/>
      <sz val="12"/>
      <name val="Segoe UI"/>
    </font>
    <font>
      <i/>
      <color rgb="1E3A8A"/>
      <sz val="9.5"/>
      <name val="Segoe UI"/>
    </font>
    <font>
      <b/>
      <color rgb="FFFFFF"/>
      <sz val="10"/>
      <name val="Segoe UI"/>
    </font>
    <font>
      <b/>
      <color rgb="0F172A"/>
      <sz val="10.5"/>
      <name val="Segoe UI"/>
    </font>
    <font>
      <color rgb="334155"/>
      <sz val="9.5"/>
      <name val="Segoe UI"/>
    </font>
    <font>
      <b/>
      <color rgb="1E3A8A"/>
      <sz val="10.5"/>
      <name val="Segoe UI"/>
    </font>
    <font>
      <b/>
      <color rgb="1E3A8A"/>
      <sz val="11"/>
      <name val="Segoe UI"/>
    </font>
    <font>
      <b/>
      <color rgb="047857"/>
      <sz val="10.5"/>
      <name val="Segoe UI"/>
    </font>
    <font>
      <i/>
      <color rgb="64748B"/>
      <sz val="9"/>
      <name val="Segoe UI"/>
    </font>
    <font>
      <i/>
      <color rgb="B45309"/>
      <sz val="9.5"/>
      <name val="Segoe UI"/>
    </font>
  </fonts>
  <fills count="8">
    <fill>
      <patternFill patternType="none"/>
    </fill>
    <fill>
      <patternFill patternType="gray125"/>
    </fill>
    <fill>
      <patternFill patternType="solid">
        <fgColor rgb="1E3A8A"/>
      </patternFill>
    </fill>
    <fill>
      <patternFill patternType="solid">
        <fgColor rgb="E2E8F0"/>
      </patternFill>
    </fill>
    <fill>
      <patternFill patternType="solid">
        <fgColor rgb="FFFFFF"/>
      </patternFill>
    </fill>
    <fill>
      <patternFill patternType="solid">
        <fgColor rgb="F8FAFC"/>
      </patternFill>
    </fill>
    <fill>
      <patternFill patternType="solid">
        <fgColor rgb="FEF08A"/>
      </patternFill>
    </fill>
    <fill>
      <patternFill patternType="solid">
        <fgColor rgb="D1FAE5"/>
      </patternFill>
    </fill>
  </fills>
  <borders count="5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  <border>
      <left/>
      <right/>
      <top/>
      <bottom style="thin">
        <color rgb="94A3B8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/>
      <right/>
      <top style="double">
        <color rgb="1E3A8A"/>
      </top>
      <bottom style="double">
        <color rgb="1E3A8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0" fillId="3" borderId="2" xfId="0" applyFill="1" applyBorder="1"/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left" vertical="center" wrapText="1"/>
    </xf>
    <xf numFmtId="3" fontId="6" fillId="4" borderId="3" xfId="0" applyNumberFormat="1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 wrapText="1"/>
    </xf>
    <xf numFmtId="3" fontId="6" fillId="5" borderId="3" xfId="0" applyNumberFormat="1" applyFont="1" applyFill="1" applyBorder="1" applyAlignment="1">
      <alignment horizontal="right" vertical="center"/>
    </xf>
    <xf numFmtId="0" fontId="0" fillId="0" borderId="4" xfId="0" applyBorder="1"/>
    <xf numFmtId="0" fontId="7" fillId="0" borderId="4" xfId="0" applyFont="1" applyBorder="1" applyAlignment="1">
      <alignment horizontal="right" vertical="center"/>
    </xf>
    <xf numFmtId="164" fontId="8" fillId="6" borderId="4" xfId="0" applyNumberFormat="1" applyFont="1" applyFill="1" applyBorder="1" applyAlignment="1">
      <alignment horizontal="right" vertical="center"/>
    </xf>
    <xf numFmtId="0" fontId="9" fillId="7" borderId="0" xfId="0" applyFont="1" applyFill="1"/>
    <xf numFmtId="0" fontId="10" fillId="0" borderId="0" xfId="0" applyFont="1"/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 outlineLevelRow="0" outlineLevelCol="0" x14ac:dyDescent="55"/>
  <cols>
    <col min="1" max="1" width="6" customWidth="1"/>
    <col min="2" max="2" width="44" customWidth="1"/>
    <col min="3" max="3" width="38" customWidth="1"/>
    <col min="4" max="4" width="10" customWidth="1"/>
    <col min="5" max="5" width="15" customWidth="1"/>
    <col min="6" max="6" width="22" customWidth="1"/>
    <col min="7" max="7" width="2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5" ht="28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4" customHeight="1" spans="1:7" x14ac:dyDescent="0.25">
      <c r="A6" s="5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</row>
    <row r="7" ht="24" customHeight="1" spans="1:7" x14ac:dyDescent="0.25">
      <c r="A7" s="7" t="s">
        <v>12</v>
      </c>
      <c r="B7" s="8" t="s">
        <v>13</v>
      </c>
      <c r="C7" s="8" t="s">
        <v>14</v>
      </c>
      <c r="D7" s="7">
        <v>1</v>
      </c>
      <c r="E7" s="7" t="s">
        <v>15</v>
      </c>
      <c r="F7" s="9">
        <v>6000000</v>
      </c>
      <c r="G7" s="9">
        <f>D7*F7</f>
        <v>6000000</v>
      </c>
    </row>
    <row r="8" ht="24" customHeight="1" spans="1:7" x14ac:dyDescent="0.25">
      <c r="A8" s="10" t="s">
        <v>16</v>
      </c>
      <c r="B8" s="11" t="s">
        <v>17</v>
      </c>
      <c r="C8" s="11" t="s">
        <v>18</v>
      </c>
      <c r="D8" s="10">
        <v>1</v>
      </c>
      <c r="E8" s="10" t="s">
        <v>15</v>
      </c>
      <c r="F8" s="12">
        <v>350000</v>
      </c>
      <c r="G8" s="12">
        <f>D8*F8</f>
        <v>350000</v>
      </c>
    </row>
    <row r="9" ht="24" customHeight="1" spans="1:7" x14ac:dyDescent="0.25">
      <c r="A9" s="7" t="s">
        <v>19</v>
      </c>
      <c r="B9" s="8" t="s">
        <v>20</v>
      </c>
      <c r="C9" s="8" t="s">
        <v>21</v>
      </c>
      <c r="D9" s="7">
        <v>1</v>
      </c>
      <c r="E9" s="7" t="s">
        <v>15</v>
      </c>
      <c r="F9" s="9">
        <v>750000</v>
      </c>
      <c r="G9" s="9">
        <f>D9*F9</f>
        <v>750000</v>
      </c>
    </row>
    <row r="10" ht="24" customHeight="1" spans="1:7" x14ac:dyDescent="0.25">
      <c r="A10" s="10" t="s">
        <v>22</v>
      </c>
      <c r="B10" s="11" t="s">
        <v>23</v>
      </c>
      <c r="C10" s="11" t="s">
        <v>24</v>
      </c>
      <c r="D10" s="10">
        <v>1</v>
      </c>
      <c r="E10" s="10" t="s">
        <v>15</v>
      </c>
      <c r="F10" s="12">
        <v>2400000</v>
      </c>
      <c r="G10" s="12">
        <f>D10*F10</f>
        <v>2400000</v>
      </c>
    </row>
    <row r="11" ht="24" customHeight="1" spans="1:7" x14ac:dyDescent="0.25">
      <c r="A11" s="5" t="s">
        <v>25</v>
      </c>
      <c r="B11" s="6" t="s">
        <v>11</v>
      </c>
      <c r="C11" s="6" t="s">
        <v>11</v>
      </c>
      <c r="D11" s="6" t="s">
        <v>11</v>
      </c>
      <c r="E11" s="6" t="s">
        <v>11</v>
      </c>
      <c r="F11" s="6" t="s">
        <v>11</v>
      </c>
      <c r="G11" s="6" t="s">
        <v>11</v>
      </c>
    </row>
    <row r="12" ht="24" customHeight="1" spans="1:7" x14ac:dyDescent="0.25">
      <c r="A12" s="7" t="s">
        <v>26</v>
      </c>
      <c r="B12" s="8" t="s">
        <v>27</v>
      </c>
      <c r="C12" s="8" t="s">
        <v>28</v>
      </c>
      <c r="D12" s="7">
        <v>1</v>
      </c>
      <c r="E12" s="7" t="s">
        <v>29</v>
      </c>
      <c r="F12" s="9">
        <v>25000000</v>
      </c>
      <c r="G12" s="9">
        <f>D12*F12</f>
        <v>25000000</v>
      </c>
    </row>
    <row r="13" ht="24" customHeight="1" spans="1:7" x14ac:dyDescent="0.25">
      <c r="A13" s="10" t="s">
        <v>30</v>
      </c>
      <c r="B13" s="11" t="s">
        <v>31</v>
      </c>
      <c r="C13" s="11" t="s">
        <v>32</v>
      </c>
      <c r="D13" s="10">
        <v>1</v>
      </c>
      <c r="E13" s="10" t="s">
        <v>33</v>
      </c>
      <c r="F13" s="12">
        <v>20000000</v>
      </c>
      <c r="G13" s="12">
        <f>D13*F13</f>
        <v>20000000</v>
      </c>
    </row>
    <row r="14" ht="24" customHeight="1" spans="1:7" x14ac:dyDescent="0.25">
      <c r="A14" s="7" t="s">
        <v>34</v>
      </c>
      <c r="B14" s="8" t="s">
        <v>35</v>
      </c>
      <c r="C14" s="8" t="s">
        <v>36</v>
      </c>
      <c r="D14" s="7">
        <v>1</v>
      </c>
      <c r="E14" s="7" t="s">
        <v>37</v>
      </c>
      <c r="F14" s="9">
        <v>10000000</v>
      </c>
      <c r="G14" s="9">
        <f>D14*F14</f>
        <v>10000000</v>
      </c>
    </row>
    <row r="15" ht="24" customHeight="1" spans="1:7" x14ac:dyDescent="0.25">
      <c r="A15" s="10" t="s">
        <v>38</v>
      </c>
      <c r="B15" s="11" t="s">
        <v>39</v>
      </c>
      <c r="C15" s="11" t="s">
        <v>40</v>
      </c>
      <c r="D15" s="10">
        <v>1</v>
      </c>
      <c r="E15" s="10" t="s">
        <v>37</v>
      </c>
      <c r="F15" s="12">
        <v>12000000</v>
      </c>
      <c r="G15" s="12">
        <f>D15*F15</f>
        <v>12000000</v>
      </c>
    </row>
    <row r="16" ht="24" customHeight="1" spans="1:7" x14ac:dyDescent="0.25">
      <c r="A16" s="7" t="s">
        <v>41</v>
      </c>
      <c r="B16" s="8" t="s">
        <v>42</v>
      </c>
      <c r="C16" s="8" t="s">
        <v>43</v>
      </c>
      <c r="D16" s="7">
        <v>1</v>
      </c>
      <c r="E16" s="7" t="s">
        <v>37</v>
      </c>
      <c r="F16" s="9">
        <v>8000000</v>
      </c>
      <c r="G16" s="9">
        <f>D16*F16</f>
        <v>8000000</v>
      </c>
    </row>
    <row r="17" ht="24" customHeight="1" spans="1:7" x14ac:dyDescent="0.25">
      <c r="A17" s="10" t="s">
        <v>44</v>
      </c>
      <c r="B17" s="11" t="s">
        <v>45</v>
      </c>
      <c r="C17" s="11" t="s">
        <v>46</v>
      </c>
      <c r="D17" s="10">
        <v>1</v>
      </c>
      <c r="E17" s="10" t="s">
        <v>37</v>
      </c>
      <c r="F17" s="12">
        <v>7500000</v>
      </c>
      <c r="G17" s="12">
        <f>D17*F17</f>
        <v>7500000</v>
      </c>
    </row>
    <row r="18" ht="24" customHeight="1" spans="1:7" x14ac:dyDescent="0.25">
      <c r="A18" s="5" t="s">
        <v>47</v>
      </c>
      <c r="B18" s="6" t="s">
        <v>11</v>
      </c>
      <c r="C18" s="6" t="s">
        <v>11</v>
      </c>
      <c r="D18" s="6" t="s">
        <v>11</v>
      </c>
      <c r="E18" s="6" t="s">
        <v>11</v>
      </c>
      <c r="F18" s="6" t="s">
        <v>11</v>
      </c>
      <c r="G18" s="6" t="s">
        <v>11</v>
      </c>
    </row>
    <row r="19" ht="24" customHeight="1" spans="1:7" x14ac:dyDescent="0.25">
      <c r="A19" s="7" t="s">
        <v>48</v>
      </c>
      <c r="B19" s="8" t="s">
        <v>49</v>
      </c>
      <c r="C19" s="8" t="s">
        <v>50</v>
      </c>
      <c r="D19" s="7">
        <v>1</v>
      </c>
      <c r="E19" s="7" t="s">
        <v>51</v>
      </c>
      <c r="F19" s="9">
        <v>5000000</v>
      </c>
      <c r="G19" s="9">
        <f>D19*F19</f>
        <v>5000000</v>
      </c>
    </row>
    <row r="20" ht="24" customHeight="1" spans="1:7" x14ac:dyDescent="0.25">
      <c r="A20" s="10" t="s">
        <v>52</v>
      </c>
      <c r="B20" s="11" t="s">
        <v>53</v>
      </c>
      <c r="C20" s="11" t="s">
        <v>54</v>
      </c>
      <c r="D20" s="10">
        <v>1</v>
      </c>
      <c r="E20" s="10" t="s">
        <v>55</v>
      </c>
      <c r="F20" s="12">
        <v>4000000</v>
      </c>
      <c r="G20" s="12">
        <f>D20*F20</f>
        <v>4000000</v>
      </c>
    </row>
    <row r="21" ht="24" customHeight="1" spans="1:7" x14ac:dyDescent="0.25">
      <c r="A21" s="7" t="s">
        <v>56</v>
      </c>
      <c r="B21" s="8" t="s">
        <v>57</v>
      </c>
      <c r="C21" s="8" t="s">
        <v>58</v>
      </c>
      <c r="D21" s="7">
        <v>1</v>
      </c>
      <c r="E21" s="7" t="s">
        <v>59</v>
      </c>
      <c r="F21" s="9">
        <v>3500000</v>
      </c>
      <c r="G21" s="9">
        <f>D21*F21</f>
        <v>3500000</v>
      </c>
    </row>
    <row r="22" ht="24" customHeight="1" spans="1:7" x14ac:dyDescent="0.25">
      <c r="A22" s="10" t="s">
        <v>60</v>
      </c>
      <c r="B22" s="11" t="s">
        <v>61</v>
      </c>
      <c r="C22" s="11" t="s">
        <v>62</v>
      </c>
      <c r="D22" s="10">
        <v>1</v>
      </c>
      <c r="E22" s="10" t="s">
        <v>63</v>
      </c>
      <c r="F22" s="12">
        <v>7500000</v>
      </c>
      <c r="G22" s="12">
        <f>D22*F22</f>
        <v>7500000</v>
      </c>
    </row>
    <row r="23" ht="24" customHeight="1" spans="1:7" x14ac:dyDescent="0.25">
      <c r="A23" s="5" t="s">
        <v>64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</row>
    <row r="24" ht="24" customHeight="1" spans="1:7" x14ac:dyDescent="0.25">
      <c r="A24" s="7" t="s">
        <v>65</v>
      </c>
      <c r="B24" s="8" t="s">
        <v>66</v>
      </c>
      <c r="C24" s="8" t="s">
        <v>67</v>
      </c>
      <c r="D24" s="7">
        <v>1</v>
      </c>
      <c r="E24" s="7" t="s">
        <v>15</v>
      </c>
      <c r="F24" s="9">
        <v>6000000</v>
      </c>
      <c r="G24" s="9">
        <f>D24*F24</f>
        <v>6000000</v>
      </c>
    </row>
    <row r="25" ht="24" customHeight="1" spans="1:7" x14ac:dyDescent="0.25">
      <c r="A25" s="10" t="s">
        <v>68</v>
      </c>
      <c r="B25" s="11" t="s">
        <v>69</v>
      </c>
      <c r="C25" s="11" t="s">
        <v>70</v>
      </c>
      <c r="D25" s="10">
        <v>1</v>
      </c>
      <c r="E25" s="10" t="s">
        <v>15</v>
      </c>
      <c r="F25" s="12">
        <v>5000000</v>
      </c>
      <c r="G25" s="12">
        <f>D25*F25</f>
        <v>5000000</v>
      </c>
    </row>
    <row r="26" ht="24" customHeight="1" spans="1:7" x14ac:dyDescent="0.25">
      <c r="A26" s="7" t="s">
        <v>71</v>
      </c>
      <c r="B26" s="8" t="s">
        <v>72</v>
      </c>
      <c r="C26" s="8" t="s">
        <v>73</v>
      </c>
      <c r="D26" s="7">
        <v>1</v>
      </c>
      <c r="E26" s="7" t="s">
        <v>15</v>
      </c>
      <c r="F26" s="9">
        <v>4500000</v>
      </c>
      <c r="G26" s="9">
        <f>D26*F26</f>
        <v>4500000</v>
      </c>
    </row>
    <row r="28" ht="28" customHeight="1" spans="1:7" x14ac:dyDescent="0.25">
      <c r="A28" s="13" t="s">
        <v>11</v>
      </c>
      <c r="B28" s="14" t="s">
        <v>74</v>
      </c>
      <c r="C28" s="14"/>
      <c r="D28" s="14"/>
      <c r="E28" s="14"/>
      <c r="F28" s="13" t="s">
        <v>11</v>
      </c>
      <c r="G28" s="15">
        <f>SUM(G7,G8,G9,G10,G12,G13,G14,G15,G16,G17,G19,G20,G21,G22,G24,G25,G26)</f>
      </c>
    </row>
    <row r="30" spans="1:7" x14ac:dyDescent="0.25">
      <c r="A30" t="s">
        <v>11</v>
      </c>
      <c r="B30" s="16" t="s">
        <v>75</v>
      </c>
      <c r="C30" s="16"/>
      <c r="D30" s="16"/>
      <c r="E30" s="16"/>
      <c r="F30" s="16"/>
      <c r="G30" s="16"/>
    </row>
    <row r="31" ht="24" customHeight="1" spans="1:7" x14ac:dyDescent="0.25">
      <c r="A31" s="7" t="s">
        <v>76</v>
      </c>
      <c r="B31" s="8" t="s">
        <v>77</v>
      </c>
      <c r="C31" s="8" t="s">
        <v>78</v>
      </c>
      <c r="D31" s="7">
        <v>1</v>
      </c>
      <c r="E31" s="7" t="s">
        <v>79</v>
      </c>
      <c r="F31" s="9">
        <v>7500000</v>
      </c>
      <c r="G31" s="9">
        <v>7500000</v>
      </c>
    </row>
    <row r="32" ht="24" customHeight="1" spans="1:7" x14ac:dyDescent="0.25">
      <c r="A32" s="7" t="s">
        <v>80</v>
      </c>
      <c r="B32" s="8" t="s">
        <v>81</v>
      </c>
      <c r="C32" s="8" t="s">
        <v>82</v>
      </c>
      <c r="D32" s="7">
        <v>1</v>
      </c>
      <c r="E32" s="7" t="s">
        <v>83</v>
      </c>
      <c r="F32" s="9">
        <v>18000000</v>
      </c>
      <c r="G32" s="9">
        <v>18000000</v>
      </c>
    </row>
    <row r="34" spans="1:7" x14ac:dyDescent="0.25">
      <c r="A34" t="s">
        <v>11</v>
      </c>
      <c r="B34" s="17" t="s">
        <v>84</v>
      </c>
      <c r="C34" s="17"/>
      <c r="D34" s="17"/>
      <c r="E34" s="17"/>
      <c r="F34" s="17"/>
      <c r="G34" s="17"/>
    </row>
  </sheetData>
  <mergeCells count="6">
    <mergeCell ref="A1:G1"/>
    <mergeCell ref="A2:G2"/>
    <mergeCell ref="A3:G3"/>
    <mergeCell ref="B28:E28"/>
    <mergeCell ref="B30:G30"/>
    <mergeCell ref="B34:G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 outlineLevelRow="0" outlineLevelCol="0" x14ac:dyDescent="55"/>
  <cols>
    <col min="1" max="1" width="6" customWidth="1"/>
    <col min="2" max="2" width="44" customWidth="1"/>
    <col min="3" max="3" width="38" customWidth="1"/>
    <col min="4" max="4" width="10" customWidth="1"/>
    <col min="5" max="5" width="15" customWidth="1"/>
    <col min="6" max="6" width="22" customWidth="1"/>
    <col min="7" max="7" width="24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18" t="s">
        <v>85</v>
      </c>
      <c r="B3" s="18"/>
      <c r="C3" s="18"/>
      <c r="D3" s="18"/>
      <c r="E3" s="18"/>
      <c r="F3" s="18"/>
      <c r="G3" s="18"/>
    </row>
    <row r="5" ht="28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4" customHeight="1" spans="1:7" x14ac:dyDescent="0.25">
      <c r="A6" s="5" t="s">
        <v>10</v>
      </c>
      <c r="B6" s="6" t="s">
        <v>11</v>
      </c>
      <c r="C6" s="6" t="s">
        <v>11</v>
      </c>
      <c r="D6" s="6" t="s">
        <v>11</v>
      </c>
      <c r="E6" s="6" t="s">
        <v>11</v>
      </c>
      <c r="F6" s="6" t="s">
        <v>11</v>
      </c>
      <c r="G6" s="6" t="s">
        <v>11</v>
      </c>
    </row>
    <row r="7" ht="24" customHeight="1" spans="1:7" x14ac:dyDescent="0.25">
      <c r="A7" s="7" t="s">
        <v>12</v>
      </c>
      <c r="B7" s="8" t="s">
        <v>13</v>
      </c>
      <c r="C7" s="8" t="s">
        <v>14</v>
      </c>
      <c r="D7" s="7">
        <v>1</v>
      </c>
      <c r="E7" s="7" t="s">
        <v>15</v>
      </c>
      <c r="F7" s="9"/>
      <c r="G7" s="9">
        <f>D7*F7</f>
      </c>
    </row>
    <row r="8" ht="24" customHeight="1" spans="1:7" x14ac:dyDescent="0.25">
      <c r="A8" s="10" t="s">
        <v>16</v>
      </c>
      <c r="B8" s="11" t="s">
        <v>17</v>
      </c>
      <c r="C8" s="11" t="s">
        <v>18</v>
      </c>
      <c r="D8" s="10">
        <v>1</v>
      </c>
      <c r="E8" s="10" t="s">
        <v>15</v>
      </c>
      <c r="F8" s="12"/>
      <c r="G8" s="12">
        <f>D8*F8</f>
      </c>
    </row>
    <row r="9" ht="24" customHeight="1" spans="1:7" x14ac:dyDescent="0.25">
      <c r="A9" s="7" t="s">
        <v>19</v>
      </c>
      <c r="B9" s="8" t="s">
        <v>20</v>
      </c>
      <c r="C9" s="8" t="s">
        <v>21</v>
      </c>
      <c r="D9" s="7">
        <v>1</v>
      </c>
      <c r="E9" s="7" t="s">
        <v>15</v>
      </c>
      <c r="F9" s="9"/>
      <c r="G9" s="9">
        <f>D9*F9</f>
      </c>
    </row>
    <row r="10" ht="24" customHeight="1" spans="1:7" x14ac:dyDescent="0.25">
      <c r="A10" s="10" t="s">
        <v>22</v>
      </c>
      <c r="B10" s="11" t="s">
        <v>23</v>
      </c>
      <c r="C10" s="11" t="s">
        <v>24</v>
      </c>
      <c r="D10" s="10">
        <v>1</v>
      </c>
      <c r="E10" s="10" t="s">
        <v>15</v>
      </c>
      <c r="F10" s="12"/>
      <c r="G10" s="12">
        <f>D10*F10</f>
      </c>
    </row>
    <row r="11" ht="24" customHeight="1" spans="1:7" x14ac:dyDescent="0.25">
      <c r="A11" s="5" t="s">
        <v>25</v>
      </c>
      <c r="B11" s="6" t="s">
        <v>11</v>
      </c>
      <c r="C11" s="6" t="s">
        <v>11</v>
      </c>
      <c r="D11" s="6" t="s">
        <v>11</v>
      </c>
      <c r="E11" s="6" t="s">
        <v>11</v>
      </c>
      <c r="F11" s="6" t="s">
        <v>11</v>
      </c>
      <c r="G11" s="6" t="s">
        <v>11</v>
      </c>
    </row>
    <row r="12" ht="24" customHeight="1" spans="1:7" x14ac:dyDescent="0.25">
      <c r="A12" s="7" t="s">
        <v>26</v>
      </c>
      <c r="B12" s="8" t="s">
        <v>27</v>
      </c>
      <c r="C12" s="8" t="s">
        <v>28</v>
      </c>
      <c r="D12" s="7">
        <v>1</v>
      </c>
      <c r="E12" s="7" t="s">
        <v>29</v>
      </c>
      <c r="F12" s="9"/>
      <c r="G12" s="9">
        <f>D12*F12</f>
      </c>
    </row>
    <row r="13" ht="24" customHeight="1" spans="1:7" x14ac:dyDescent="0.25">
      <c r="A13" s="10" t="s">
        <v>30</v>
      </c>
      <c r="B13" s="11" t="s">
        <v>31</v>
      </c>
      <c r="C13" s="11" t="s">
        <v>32</v>
      </c>
      <c r="D13" s="10">
        <v>1</v>
      </c>
      <c r="E13" s="10" t="s">
        <v>33</v>
      </c>
      <c r="F13" s="12"/>
      <c r="G13" s="12">
        <f>D13*F13</f>
      </c>
    </row>
    <row r="14" ht="24" customHeight="1" spans="1:7" x14ac:dyDescent="0.25">
      <c r="A14" s="7" t="s">
        <v>34</v>
      </c>
      <c r="B14" s="8" t="s">
        <v>35</v>
      </c>
      <c r="C14" s="8" t="s">
        <v>36</v>
      </c>
      <c r="D14" s="7">
        <v>1</v>
      </c>
      <c r="E14" s="7" t="s">
        <v>37</v>
      </c>
      <c r="F14" s="9"/>
      <c r="G14" s="9">
        <f>D14*F14</f>
      </c>
    </row>
    <row r="15" ht="24" customHeight="1" spans="1:7" x14ac:dyDescent="0.25">
      <c r="A15" s="10" t="s">
        <v>38</v>
      </c>
      <c r="B15" s="11" t="s">
        <v>39</v>
      </c>
      <c r="C15" s="11" t="s">
        <v>40</v>
      </c>
      <c r="D15" s="10">
        <v>1</v>
      </c>
      <c r="E15" s="10" t="s">
        <v>37</v>
      </c>
      <c r="F15" s="12"/>
      <c r="G15" s="12">
        <f>D15*F15</f>
      </c>
    </row>
    <row r="16" ht="24" customHeight="1" spans="1:7" x14ac:dyDescent="0.25">
      <c r="A16" s="7" t="s">
        <v>41</v>
      </c>
      <c r="B16" s="8" t="s">
        <v>42</v>
      </c>
      <c r="C16" s="8" t="s">
        <v>43</v>
      </c>
      <c r="D16" s="7">
        <v>1</v>
      </c>
      <c r="E16" s="7" t="s">
        <v>37</v>
      </c>
      <c r="F16" s="9"/>
      <c r="G16" s="9">
        <f>D16*F16</f>
      </c>
    </row>
    <row r="17" ht="24" customHeight="1" spans="1:7" x14ac:dyDescent="0.25">
      <c r="A17" s="10" t="s">
        <v>44</v>
      </c>
      <c r="B17" s="11" t="s">
        <v>45</v>
      </c>
      <c r="C17" s="11" t="s">
        <v>46</v>
      </c>
      <c r="D17" s="10">
        <v>1</v>
      </c>
      <c r="E17" s="10" t="s">
        <v>37</v>
      </c>
      <c r="F17" s="12"/>
      <c r="G17" s="12">
        <f>D17*F17</f>
      </c>
    </row>
    <row r="18" ht="24" customHeight="1" spans="1:7" x14ac:dyDescent="0.25">
      <c r="A18" s="5" t="s">
        <v>47</v>
      </c>
      <c r="B18" s="6" t="s">
        <v>11</v>
      </c>
      <c r="C18" s="6" t="s">
        <v>11</v>
      </c>
      <c r="D18" s="6" t="s">
        <v>11</v>
      </c>
      <c r="E18" s="6" t="s">
        <v>11</v>
      </c>
      <c r="F18" s="6" t="s">
        <v>11</v>
      </c>
      <c r="G18" s="6" t="s">
        <v>11</v>
      </c>
    </row>
    <row r="19" ht="24" customHeight="1" spans="1:7" x14ac:dyDescent="0.25">
      <c r="A19" s="7" t="s">
        <v>48</v>
      </c>
      <c r="B19" s="8" t="s">
        <v>49</v>
      </c>
      <c r="C19" s="8" t="s">
        <v>50</v>
      </c>
      <c r="D19" s="7">
        <v>1</v>
      </c>
      <c r="E19" s="7" t="s">
        <v>51</v>
      </c>
      <c r="F19" s="9"/>
      <c r="G19" s="9">
        <f>D19*F19</f>
      </c>
    </row>
    <row r="20" ht="24" customHeight="1" spans="1:7" x14ac:dyDescent="0.25">
      <c r="A20" s="10" t="s">
        <v>52</v>
      </c>
      <c r="B20" s="11" t="s">
        <v>53</v>
      </c>
      <c r="C20" s="11" t="s">
        <v>54</v>
      </c>
      <c r="D20" s="10">
        <v>1</v>
      </c>
      <c r="E20" s="10" t="s">
        <v>55</v>
      </c>
      <c r="F20" s="12"/>
      <c r="G20" s="12">
        <f>D20*F20</f>
      </c>
    </row>
    <row r="21" ht="24" customHeight="1" spans="1:7" x14ac:dyDescent="0.25">
      <c r="A21" s="7" t="s">
        <v>56</v>
      </c>
      <c r="B21" s="8" t="s">
        <v>57</v>
      </c>
      <c r="C21" s="8" t="s">
        <v>58</v>
      </c>
      <c r="D21" s="7">
        <v>1</v>
      </c>
      <c r="E21" s="7" t="s">
        <v>59</v>
      </c>
      <c r="F21" s="9"/>
      <c r="G21" s="9">
        <f>D21*F21</f>
      </c>
    </row>
    <row r="22" ht="24" customHeight="1" spans="1:7" x14ac:dyDescent="0.25">
      <c r="A22" s="10" t="s">
        <v>60</v>
      </c>
      <c r="B22" s="11" t="s">
        <v>61</v>
      </c>
      <c r="C22" s="11" t="s">
        <v>62</v>
      </c>
      <c r="D22" s="10">
        <v>1</v>
      </c>
      <c r="E22" s="10" t="s">
        <v>63</v>
      </c>
      <c r="F22" s="12"/>
      <c r="G22" s="12">
        <f>D22*F22</f>
      </c>
    </row>
    <row r="23" ht="24" customHeight="1" spans="1:7" x14ac:dyDescent="0.25">
      <c r="A23" s="5" t="s">
        <v>64</v>
      </c>
      <c r="B23" s="6" t="s">
        <v>11</v>
      </c>
      <c r="C23" s="6" t="s">
        <v>11</v>
      </c>
      <c r="D23" s="6" t="s">
        <v>11</v>
      </c>
      <c r="E23" s="6" t="s">
        <v>11</v>
      </c>
      <c r="F23" s="6" t="s">
        <v>11</v>
      </c>
      <c r="G23" s="6" t="s">
        <v>11</v>
      </c>
    </row>
    <row r="24" ht="24" customHeight="1" spans="1:7" x14ac:dyDescent="0.25">
      <c r="A24" s="7" t="s">
        <v>65</v>
      </c>
      <c r="B24" s="8" t="s">
        <v>66</v>
      </c>
      <c r="C24" s="8" t="s">
        <v>67</v>
      </c>
      <c r="D24" s="7">
        <v>1</v>
      </c>
      <c r="E24" s="7" t="s">
        <v>15</v>
      </c>
      <c r="F24" s="9"/>
      <c r="G24" s="9">
        <f>D24*F24</f>
      </c>
    </row>
    <row r="25" ht="24" customHeight="1" spans="1:7" x14ac:dyDescent="0.25">
      <c r="A25" s="10" t="s">
        <v>68</v>
      </c>
      <c r="B25" s="11" t="s">
        <v>69</v>
      </c>
      <c r="C25" s="11" t="s">
        <v>70</v>
      </c>
      <c r="D25" s="10">
        <v>1</v>
      </c>
      <c r="E25" s="10" t="s">
        <v>15</v>
      </c>
      <c r="F25" s="12"/>
      <c r="G25" s="12">
        <f>D25*F25</f>
      </c>
    </row>
    <row r="26" ht="24" customHeight="1" spans="1:7" x14ac:dyDescent="0.25">
      <c r="A26" s="7" t="s">
        <v>71</v>
      </c>
      <c r="B26" s="8" t="s">
        <v>72</v>
      </c>
      <c r="C26" s="8" t="s">
        <v>73</v>
      </c>
      <c r="D26" s="7">
        <v>1</v>
      </c>
      <c r="E26" s="7" t="s">
        <v>15</v>
      </c>
      <c r="F26" s="9"/>
      <c r="G26" s="9">
        <f>D26*F26</f>
      </c>
    </row>
    <row r="28" ht="28" customHeight="1" spans="1:7" x14ac:dyDescent="0.25">
      <c r="A28" s="13" t="s">
        <v>11</v>
      </c>
      <c r="B28" s="14" t="s">
        <v>74</v>
      </c>
      <c r="C28" s="14"/>
      <c r="D28" s="14"/>
      <c r="E28" s="14"/>
      <c r="F28" s="13" t="s">
        <v>11</v>
      </c>
      <c r="G28" s="15">
        <f>SUM(G7,G8,G9,G10,G12,G13,G14,G15,G16,G17,G19,G20,G21,G22,G24,G25,G26)</f>
      </c>
    </row>
    <row r="30" spans="1:7" x14ac:dyDescent="0.25">
      <c r="A30" t="s">
        <v>11</v>
      </c>
      <c r="B30" s="16" t="s">
        <v>75</v>
      </c>
      <c r="C30" s="16"/>
      <c r="D30" s="16"/>
      <c r="E30" s="16"/>
      <c r="F30" s="16"/>
      <c r="G30" s="16"/>
    </row>
    <row r="31" ht="24" customHeight="1" spans="1:7" x14ac:dyDescent="0.25">
      <c r="A31" s="7" t="s">
        <v>76</v>
      </c>
      <c r="B31" s="8" t="s">
        <v>77</v>
      </c>
      <c r="C31" s="8" t="s">
        <v>78</v>
      </c>
      <c r="D31" s="7">
        <v>1</v>
      </c>
      <c r="E31" s="7" t="s">
        <v>79</v>
      </c>
      <c r="F31" s="9"/>
      <c r="G31" s="9">
        <f>D31*F31</f>
      </c>
    </row>
    <row r="32" ht="24" customHeight="1" spans="1:7" x14ac:dyDescent="0.25">
      <c r="A32" s="7" t="s">
        <v>80</v>
      </c>
      <c r="B32" s="8" t="s">
        <v>81</v>
      </c>
      <c r="C32" s="8" t="s">
        <v>82</v>
      </c>
      <c r="D32" s="7">
        <v>1</v>
      </c>
      <c r="E32" s="7" t="s">
        <v>83</v>
      </c>
      <c r="F32" s="9"/>
      <c r="G32" s="9">
        <f>D32*F32</f>
      </c>
    </row>
    <row r="34" spans="1:7" x14ac:dyDescent="0.25">
      <c r="A34" t="s">
        <v>11</v>
      </c>
      <c r="B34" s="17" t="s">
        <v>84</v>
      </c>
      <c r="C34" s="17"/>
      <c r="D34" s="17"/>
      <c r="E34" s="17"/>
      <c r="F34" s="17"/>
      <c r="G34" s="17"/>
    </row>
  </sheetData>
  <mergeCells count="6">
    <mergeCell ref="A1:G1"/>
    <mergeCell ref="A2:G2"/>
    <mergeCell ref="A3:G3"/>
    <mergeCell ref="B28:E28"/>
    <mergeCell ref="B30:G30"/>
    <mergeCell ref="B34:G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 Lengkap (Standar)</vt:lpstr>
      <vt:lpstr>Template Kosong (Disesuaikan)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Pengembang SIAD 2.0</dc:creator>
  <dc:title/>
  <dc:subject/>
  <dc:description/>
  <cp:keywords/>
  <cp:category/>
  <cp:lastModifiedBy>Tim Pengembang SIAD 2.0</cp:lastModifiedBy>
  <dcterms:created xsi:type="dcterms:W3CDTF">2026-09-09T19:55:26Z</dcterms:created>
  <dcterms:modified xsi:type="dcterms:W3CDTF">2026-09-09T19:55:26Z</dcterms:modified>
</cp:coreProperties>
</file>